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8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isible" r:id="rId6"/>
    <sheet xmlns:r="http://schemas.openxmlformats.org/officeDocument/2006/relationships" name="Disponibilites" sheetId="7" state="visible" r:id="rId7"/>
    <sheet xmlns:r="http://schemas.openxmlformats.org/officeDocument/2006/relationships" name="Visites" sheetId="8" state="visible" r:id="rId8"/>
    <sheet xmlns:r="http://schemas.openxmlformats.org/officeDocument/2006/relationships" name="Planning" sheetId="9" state="visible" r:id="rId9"/>
    <sheet xmlns:r="http://schemas.openxmlformats.org/officeDocument/2006/relationships" name="Calculs_Paie" sheetId="10" state="visible" r:id="rId10"/>
    <sheet xmlns:r="http://schemas.openxmlformats.org/officeDocument/2006/relationships" name="Contrats" sheetId="11" state="visible" r:id="rId11"/>
    <sheet xmlns:r="http://schemas.openxmlformats.org/officeDocument/2006/relationships" name="Configuration" sheetId="12" state="visible" r:id="rId12"/>
    <sheet xmlns:r="http://schemas.openxmlformats.org/officeDocument/2006/relationships" name="Spécialisations" sheetId="13" state="visible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eryHidden" r:id="rId16"/>
  </sheets>
  <definedNames>
    <definedName name="Liste_Guides">Guides!$A$2:$F$16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[$-40C]dddd\ d\ mmmm\ yyyy"/>
    <numFmt numFmtId="166" formatCode="[$-F400]h:mm:ss\ AM/PM"/>
  </numFmts>
  <fonts count="31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color theme="1"/>
      <sz val="16"/>
    </font>
    <font>
      <name val="Arial"/>
      <family val="2"/>
      <color rgb="FFFF0000"/>
      <sz val="16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b val="1"/>
      <color theme="1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3" fillId="0" borderId="0"/>
  </cellStyleXfs>
  <cellXfs count="55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0" fontId="2" fillId="5" borderId="0" applyAlignment="1" pivotButton="0" quotePrefix="0" xfId="0">
      <alignment horizontal="center"/>
    </xf>
    <xf numFmtId="0" fontId="2" fillId="6" borderId="0" applyAlignment="1" pivotButton="0" quotePrefix="0" xfId="0">
      <alignment horizontal="center"/>
    </xf>
    <xf numFmtId="0" fontId="2" fillId="7" borderId="0" applyAlignment="1" pivotButton="0" quotePrefix="0" xfId="0">
      <alignment horizontal="center"/>
    </xf>
    <xf numFmtId="0" fontId="3" fillId="0" borderId="0" pivotButton="0" quotePrefix="0" xfId="0"/>
    <xf numFmtId="0" fontId="12" fillId="12" borderId="0" pivotButton="0" quotePrefix="0" xfId="0"/>
    <xf numFmtId="0" fontId="14" fillId="0" borderId="0" pivotButton="0" quotePrefix="0" xfId="0"/>
    <xf numFmtId="0" fontId="17" fillId="14" borderId="0" pivotButton="0" quotePrefix="0" xfId="0"/>
    <xf numFmtId="0" fontId="18" fillId="15" borderId="9" applyAlignment="1" pivotButton="0" quotePrefix="0" xfId="0">
      <alignment horizontal="center" vertical="center"/>
    </xf>
    <xf numFmtId="0" fontId="1" fillId="17" borderId="9" applyAlignment="1" pivotButton="0" quotePrefix="0" xfId="0">
      <alignment horizontal="center" vertical="center"/>
    </xf>
    <xf numFmtId="0" fontId="1" fillId="16" borderId="0" applyAlignment="1" pivotButton="0" quotePrefix="0" xfId="0">
      <alignment horizontal="center"/>
    </xf>
    <xf numFmtId="0" fontId="19" fillId="8" borderId="0" pivotButton="0" quotePrefix="0" xfId="0"/>
    <xf numFmtId="0" fontId="20" fillId="0" borderId="0" pivotButton="0" quotePrefix="0" xfId="0"/>
    <xf numFmtId="0" fontId="1" fillId="18" borderId="0" applyAlignment="1" pivotButton="0" quotePrefix="0" xfId="0">
      <alignment horizontal="center"/>
    </xf>
    <xf numFmtId="0" fontId="1" fillId="19" borderId="9" applyAlignment="1" pivotButton="0" quotePrefix="0" xfId="0">
      <alignment horizontal="center" vertical="center"/>
    </xf>
    <xf numFmtId="0" fontId="19" fillId="20" borderId="0" pivotButton="0" quotePrefix="0" xfId="0"/>
    <xf numFmtId="0" fontId="19" fillId="21" borderId="0" applyAlignment="1" pivotButton="0" quotePrefix="0" xfId="0">
      <alignment horizontal="center"/>
    </xf>
    <xf numFmtId="0" fontId="21" fillId="0" borderId="0" pivotButton="0" quotePrefix="0" xfId="0"/>
    <xf numFmtId="164" fontId="0" fillId="0" borderId="0" pivotButton="0" quotePrefix="0" xfId="0"/>
    <xf numFmtId="0" fontId="22" fillId="5" borderId="0" applyAlignment="1" pivotButton="0" quotePrefix="0" xfId="0">
      <alignment horizontal="center" vertical="center"/>
    </xf>
    <xf numFmtId="0" fontId="13" fillId="14" borderId="0" applyAlignment="1" pivotButton="0" quotePrefix="0" xfId="0">
      <alignment wrapText="1"/>
    </xf>
    <xf numFmtId="0" fontId="23" fillId="14" borderId="0" pivotButton="0" quotePrefix="0" xfId="1"/>
    <xf numFmtId="0" fontId="24" fillId="0" borderId="0" pivotButton="0" quotePrefix="0" xfId="0"/>
    <xf numFmtId="0" fontId="25" fillId="0" borderId="0" pivotButton="0" quotePrefix="0" xfId="0"/>
    <xf numFmtId="0" fontId="26" fillId="22" borderId="10" applyAlignment="1" pivotButton="0" quotePrefix="0" xfId="0">
      <alignment horizontal="center" vertical="center"/>
    </xf>
    <xf numFmtId="165" fontId="0" fillId="0" borderId="0" pivotButton="0" quotePrefix="0" xfId="0"/>
    <xf numFmtId="166" fontId="26" fillId="22" borderId="10" applyAlignment="1" pivotButton="0" quotePrefix="0" xfId="0">
      <alignment horizontal="center" vertical="center"/>
    </xf>
    <xf numFmtId="166" fontId="0" fillId="0" borderId="0" pivotButton="0" quotePrefix="0" xfId="0"/>
    <xf numFmtId="0" fontId="27" fillId="22" borderId="10" applyAlignment="1" pivotButton="0" quotePrefix="0" xfId="0">
      <alignment horizontal="center" vertical="center"/>
    </xf>
    <xf numFmtId="0" fontId="27" fillId="0" borderId="0" pivotButton="0" quotePrefix="0" xfId="0"/>
    <xf numFmtId="0" fontId="28" fillId="23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3" fillId="0" borderId="0" pivotButton="0" quotePrefix="0" xfId="0"/>
    <xf numFmtId="0" fontId="9" fillId="0" borderId="0" applyAlignment="1" pivotButton="0" quotePrefix="0" xfId="0">
      <alignment horizontal="center"/>
    </xf>
    <xf numFmtId="0" fontId="7" fillId="9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0" fillId="0" borderId="0" applyAlignment="1" pivotButton="0" quotePrefix="0" xfId="0">
      <alignment horizontal="center"/>
    </xf>
    <xf numFmtId="0" fontId="6" fillId="10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6" fillId="8" borderId="3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3" fillId="0" borderId="1" pivotButton="0" quotePrefix="0" xfId="0"/>
    <xf numFmtId="0" fontId="0" fillId="0" borderId="1" pivotButton="0" quotePrefix="0" xfId="0"/>
    <xf numFmtId="0" fontId="8" fillId="11" borderId="4" applyAlignment="1" pivotButton="0" quotePrefix="0" xfId="0">
      <alignment horizontal="left" vertical="top" wrapText="1"/>
    </xf>
    <xf numFmtId="0" fontId="7" fillId="11" borderId="2" applyAlignment="1" pivotButton="0" quotePrefix="0" xfId="0">
      <alignment horizontal="center"/>
    </xf>
    <xf numFmtId="0" fontId="8" fillId="9" borderId="4" applyAlignment="1" pivotButton="0" quotePrefix="0" xfId="0">
      <alignment horizontal="left" vertical="top" wrapText="1"/>
    </xf>
    <xf numFmtId="0" fontId="16" fillId="0" borderId="0" pivotButton="0" quotePrefix="0" xfId="0"/>
    <xf numFmtId="0" fontId="0" fillId="0" borderId="0" pivotButton="0" quotePrefix="0" xfId="0"/>
    <xf numFmtId="0" fontId="11" fillId="13" borderId="0" pivotButton="0" quotePrefix="0" xfId="0"/>
    <xf numFmtId="0" fontId="15" fillId="0" borderId="0" pivotButton="0" quotePrefix="0" xfId="0"/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topLeftCell="B1" workbookViewId="0">
      <selection activeCell="H21" sqref="H21"/>
    </sheetView>
  </sheetViews>
  <sheetFormatPr baseColWidth="10" defaultRowHeight="15"/>
  <cols>
    <col hidden="1"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18">
      <c r="A1" s="16" t="inlineStr">
        <is>
          <t>Guide</t>
        </is>
      </c>
      <c r="B1" s="16" t="inlineStr">
        <is>
          <t>Date</t>
        </is>
      </c>
      <c r="C1" s="16" t="inlineStr">
        <is>
          <t>Disponible</t>
        </is>
      </c>
      <c r="D1" s="16" t="inlineStr">
        <is>
          <t>Commentaire</t>
        </is>
      </c>
      <c r="E1" s="17" t="inlineStr">
        <is>
          <t>Prenom</t>
        </is>
      </c>
      <c r="F1" s="17" t="inlineStr">
        <is>
          <t>Nom</t>
        </is>
      </c>
    </row>
    <row r="2">
      <c r="A2" s="15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14">
      <c r="A1" s="13" t="inlineStr">
        <is>
          <t>ID_Visite</t>
        </is>
      </c>
      <c r="B1" s="13" t="inlineStr">
        <is>
          <t>Date</t>
        </is>
      </c>
      <c r="C1" s="13" t="inlineStr">
        <is>
          <t>Heure</t>
        </is>
      </c>
      <c r="D1" s="13" t="inlineStr">
        <is>
          <t>Musée</t>
        </is>
      </c>
      <c r="E1" s="13" t="inlineStr">
        <is>
          <t>Type_Visite</t>
        </is>
      </c>
      <c r="F1" s="13" t="inlineStr">
        <is>
          <t>Durée_Heures</t>
        </is>
      </c>
      <c r="G1" s="13" t="inlineStr">
        <is>
          <t>Nombre_Visiteurs</t>
        </is>
      </c>
      <c r="H1" s="13" t="inlineStr">
        <is>
          <t>Statut</t>
        </is>
      </c>
      <c r="K1" s="12" t="inlineStr">
        <is>
          <t>Heure_Debut</t>
        </is>
      </c>
      <c r="L1" s="12" t="inlineStr">
        <is>
          <t>Heure_Fin</t>
        </is>
      </c>
      <c r="M1" s="12" t="inlineStr">
        <is>
          <t>Langue</t>
        </is>
      </c>
      <c r="N1" s="12" t="inlineStr">
        <is>
          <t>Nb_Personnes</t>
        </is>
      </c>
      <c r="O1" s="12" t="inlineStr">
        <is>
          <t>Tarif</t>
        </is>
      </c>
      <c r="P1" s="12" t="inlineStr">
        <is>
          <t>Guide_Attribue</t>
        </is>
      </c>
      <c r="Q1" s="12" t="inlineStr">
        <is>
          <t>Notes</t>
        </is>
      </c>
    </row>
    <row r="2">
      <c r="A2" s="15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15"/>
    <col width="9.1640625" customWidth="1" style="35" min="16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25" t="n"/>
      <c r="H9" s="26" t="inlineStr">
        <is>
          <t>Ne pas répondre à planninglsb@outlook.fr</t>
        </is>
      </c>
      <c r="I9" s="26" t="n"/>
      <c r="J9" s="26" t="n"/>
      <c r="K9" s="26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0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O21" sqref="O21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1" t="inlineStr">
        <is>
          <t>Specialisations</t>
        </is>
      </c>
      <c r="G1" s="11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2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1" t="inlineStr">
        <is>
          <t>Prenom</t>
        </is>
      </c>
      <c r="F1" s="11" t="inlineStr">
        <is>
          <t>Nom</t>
        </is>
      </c>
    </row>
    <row r="2">
      <c r="A2" s="51" t="inlineStr">
        <is>
          <t>⚠️ À REMPLIR: Saisissez les disponibilités de chaque guide</t>
        </is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/>
  <cols>
    <col width="12" customWidth="1" style="52" min="1" max="2"/>
    <col width="11" customWidth="1" style="30" min="3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1"/>
    <col width="20" customWidth="1" style="52" min="12" max="12"/>
    <col width="12" customWidth="1" style="52" min="13" max="17"/>
  </cols>
  <sheetData>
    <row r="1">
      <c r="A1" s="27" t="inlineStr">
        <is>
          <t>ID_Visite</t>
        </is>
      </c>
      <c r="B1" s="27" t="inlineStr">
        <is>
          <t>Date</t>
        </is>
      </c>
      <c r="C1" s="29" t="inlineStr">
        <is>
          <t>Heure_Debut</t>
        </is>
      </c>
      <c r="D1" s="29" t="inlineStr">
        <is>
          <t>Heure_Fin</t>
        </is>
      </c>
      <c r="E1" s="27" t="inlineStr">
        <is>
          <t>Nb_Participants</t>
        </is>
      </c>
      <c r="F1" s="27" t="inlineStr">
        <is>
          <t>Type_Prestation</t>
        </is>
      </c>
      <c r="G1" s="27" t="inlineStr">
        <is>
          <t>Nom_Structure</t>
        </is>
      </c>
      <c r="H1" s="27" t="inlineStr">
        <is>
          <t>Niveau</t>
        </is>
      </c>
      <c r="I1" s="27" t="inlineStr">
        <is>
          <t>Theme</t>
        </is>
      </c>
      <c r="J1" s="27" t="inlineStr">
        <is>
          <t>Commentaires</t>
        </is>
      </c>
      <c r="K1" s="27" t="inlineStr">
        <is>
          <t>Statut</t>
        </is>
      </c>
      <c r="L1" s="27" t="inlineStr">
        <is>
          <t>Guide_Attribue</t>
        </is>
      </c>
      <c r="M1" s="27" t="inlineStr">
        <is>
          <t>Tarif</t>
        </is>
      </c>
      <c r="N1" s="27" t="inlineStr">
        <is>
          <t>Duree_Heures</t>
        </is>
      </c>
      <c r="O1" s="27" t="inlineStr">
        <is>
          <t>Langue</t>
        </is>
      </c>
      <c r="P1" s="11" t="inlineStr">
        <is>
          <t>Guide_Attribue</t>
        </is>
      </c>
      <c r="Q1" s="11" t="inlineStr">
        <is>
          <t>Notes</t>
        </is>
      </c>
    </row>
    <row r="2">
      <c r="A2" t="inlineStr">
        <is>
          <t>V0001</t>
        </is>
      </c>
      <c r="B2" s="28" t="n">
        <v>45962</v>
      </c>
      <c r="C2" s="30" t="n">
        <v>0.4166666666666667</v>
      </c>
      <c r="D2" s="30" t="n">
        <v>0.4479166666666667</v>
      </c>
      <c r="E2" t="n">
        <v>18</v>
      </c>
      <c r="F2" t="inlineStr">
        <is>
          <t>VISITE CONTE BRANLY</t>
        </is>
      </c>
      <c r="H2" t="inlineStr">
        <is>
          <t>Visite contée 0-3 ans "Ma petite visite contée, maman serpent"</t>
        </is>
      </c>
      <c r="K2" t="inlineStr">
        <is>
          <t>Planifiée</t>
        </is>
      </c>
      <c r="N2">
        <f>(D2-C2)*24</f>
        <v/>
      </c>
      <c r="O2" t="inlineStr">
        <is>
          <t>Français</t>
        </is>
      </c>
    </row>
    <row r="3">
      <c r="A3" t="inlineStr">
        <is>
          <t>V0002</t>
        </is>
      </c>
      <c r="B3" s="28" t="n">
        <v>45962</v>
      </c>
      <c r="C3" s="30" t="n">
        <v>0.46875</v>
      </c>
      <c r="D3" s="30" t="n">
        <v>0.5104166666666666</v>
      </c>
      <c r="E3" t="n">
        <v>18</v>
      </c>
      <c r="F3" t="inlineStr">
        <is>
          <t>VISITE CONTE BRANLY</t>
        </is>
      </c>
      <c r="H3" t="inlineStr">
        <is>
          <t>Visite contée +6 ans "Amazônia"</t>
        </is>
      </c>
      <c r="K3" t="inlineStr">
        <is>
          <t>Planifiée</t>
        </is>
      </c>
      <c r="N3">
        <f>(D3-C3)*24</f>
        <v/>
      </c>
      <c r="O3" t="inlineStr">
        <is>
          <t>Français</t>
        </is>
      </c>
    </row>
    <row r="4">
      <c r="A4" t="inlineStr">
        <is>
          <t>V0003</t>
        </is>
      </c>
      <c r="B4" s="28" t="n">
        <v>45962</v>
      </c>
      <c r="C4" s="30" t="n">
        <v>0.6875</v>
      </c>
      <c r="D4" s="30" t="n">
        <v>0.7291666666666666</v>
      </c>
      <c r="E4" t="n">
        <v>18</v>
      </c>
      <c r="F4" t="inlineStr">
        <is>
          <t>VISITE CONTE BRANLY</t>
        </is>
      </c>
      <c r="H4" t="inlineStr">
        <is>
          <t>Visite contée 3-5 ans "Le monde en couleur"</t>
        </is>
      </c>
      <c r="K4" t="inlineStr">
        <is>
          <t>Planifiée</t>
        </is>
      </c>
      <c r="N4">
        <f>(D4-C4)*24</f>
        <v/>
      </c>
      <c r="O4" t="inlineStr">
        <is>
          <t>Français</t>
        </is>
      </c>
    </row>
    <row r="5">
      <c r="A5" t="inlineStr">
        <is>
          <t>V0004</t>
        </is>
      </c>
      <c r="B5" s="28" t="n">
        <v>45963</v>
      </c>
      <c r="C5" s="30" t="n">
        <v>0.4583333333333333</v>
      </c>
      <c r="D5" s="30" t="n">
        <v>0.5</v>
      </c>
      <c r="E5" t="n">
        <v>12</v>
      </c>
      <c r="F5" t="inlineStr">
        <is>
          <t>VISITE CONTE MARINE</t>
        </is>
      </c>
      <c r="H5" t="inlineStr">
        <is>
          <t>A L ABORDAGE</t>
        </is>
      </c>
      <c r="K5" t="inlineStr">
        <is>
          <t>Planifiée</t>
        </is>
      </c>
      <c r="N5">
        <f>(D5-C5)*24</f>
        <v/>
      </c>
      <c r="O5" t="inlineStr">
        <is>
          <t>Français</t>
        </is>
      </c>
    </row>
    <row r="6">
      <c r="A6" t="inlineStr">
        <is>
          <t>V0005</t>
        </is>
      </c>
      <c r="B6" s="28" t="n">
        <v>45964</v>
      </c>
      <c r="C6" s="30" t="n">
        <v>0.4166666666666667</v>
      </c>
      <c r="D6" s="30" t="n">
        <v>0.4583333333333333</v>
      </c>
      <c r="E6" t="n">
        <v>5</v>
      </c>
      <c r="F6" t="inlineStr">
        <is>
          <t>HORS LES MURS</t>
        </is>
      </c>
      <c r="G6" t="inlineStr">
        <is>
          <t>Maison des seniors Bondy</t>
        </is>
      </c>
      <c r="H6" t="inlineStr">
        <is>
          <t>femmes</t>
        </is>
      </c>
      <c r="J6" t="inlineStr">
        <is>
          <t>01 43 11 80 ..
Email dans dossier</t>
        </is>
      </c>
      <c r="K6" t="inlineStr">
        <is>
          <t>Planifiée</t>
        </is>
      </c>
      <c r="N6">
        <f>(D6-C6)*24</f>
        <v/>
      </c>
      <c r="O6" t="inlineStr">
        <is>
          <t>Français</t>
        </is>
      </c>
    </row>
    <row r="7">
      <c r="A7" t="inlineStr">
        <is>
          <t>V0006</t>
        </is>
      </c>
      <c r="B7" s="28" t="n">
        <v>45965</v>
      </c>
      <c r="C7" s="30" t="n">
        <v>0.4166666666666667</v>
      </c>
      <c r="D7" s="30" t="n">
        <v>0.4479166666666667</v>
      </c>
      <c r="F7" t="inlineStr">
        <is>
          <t>HORS LES MURS</t>
        </is>
      </c>
      <c r="G7" t="inlineStr">
        <is>
          <t xml:space="preserve">Espace Pierre Brossolette </t>
        </is>
      </c>
      <c r="H7" t="inlineStr">
        <is>
          <t>MPVC OURS</t>
        </is>
      </c>
      <c r="J7" t="inlineStr">
        <is>
          <t>contact  : Karine</t>
        </is>
      </c>
      <c r="K7" t="inlineStr">
        <is>
          <t>Planifiée</t>
        </is>
      </c>
      <c r="N7">
        <f>(D7-C7)*24</f>
        <v/>
      </c>
      <c r="O7" t="inlineStr">
        <is>
          <t>Français</t>
        </is>
      </c>
    </row>
    <row r="8">
      <c r="A8" t="inlineStr">
        <is>
          <t>V0007</t>
        </is>
      </c>
      <c r="B8" s="28" t="n">
        <v>45965</v>
      </c>
      <c r="C8" s="30" t="n">
        <v>0.4375</v>
      </c>
      <c r="D8" s="30" t="n">
        <v>0.4791666666666667</v>
      </c>
      <c r="E8" t="n">
        <v>18</v>
      </c>
      <c r="F8" t="inlineStr">
        <is>
          <t>VISITE CONTE BRANLY</t>
        </is>
      </c>
      <c r="G8" t="inlineStr">
        <is>
          <t>ECOLE L</t>
        </is>
      </c>
      <c r="H8" t="inlineStr">
        <is>
          <t>G-VC "Océanie"</t>
        </is>
      </c>
      <c r="I8" t="inlineStr">
        <is>
          <t>Primaire/CE1</t>
        </is>
      </c>
      <c r="K8" t="inlineStr">
        <is>
          <t>Planifiée</t>
        </is>
      </c>
      <c r="N8">
        <f>(D8-C8)*24</f>
        <v/>
      </c>
      <c r="O8" t="inlineStr">
        <is>
          <t>Français</t>
        </is>
      </c>
    </row>
    <row r="9">
      <c r="A9" t="inlineStr">
        <is>
          <t>V0008</t>
        </is>
      </c>
      <c r="B9" s="28" t="n">
        <v>45965</v>
      </c>
      <c r="C9" s="30" t="n">
        <v>0.4444444444444444</v>
      </c>
      <c r="D9" s="30" t="n">
        <v>0.4861111111111111</v>
      </c>
      <c r="E9" t="n">
        <v>15</v>
      </c>
      <c r="F9" t="inlineStr">
        <is>
          <t>VISITE CONTE BRANLY</t>
        </is>
      </c>
      <c r="G9" t="inlineStr">
        <is>
          <t>ECOLE L</t>
        </is>
      </c>
      <c r="H9" t="inlineStr">
        <is>
          <t>G-VC "Océanie"</t>
        </is>
      </c>
      <c r="I9" t="inlineStr">
        <is>
          <t>Primaire/CE1</t>
        </is>
      </c>
      <c r="K9" t="inlineStr">
        <is>
          <t>Planifiée</t>
        </is>
      </c>
      <c r="N9">
        <f>(D9-C9)*24</f>
        <v/>
      </c>
      <c r="O9" t="inlineStr">
        <is>
          <t>Français</t>
        </is>
      </c>
    </row>
    <row r="10">
      <c r="A10" t="inlineStr">
        <is>
          <t>V0009</t>
        </is>
      </c>
      <c r="B10" s="28" t="n">
        <v>45965</v>
      </c>
      <c r="C10" s="30" t="n">
        <v>0.4479166666666667</v>
      </c>
      <c r="D10" s="30" t="n">
        <v>0.4895833333333333</v>
      </c>
      <c r="F10" t="inlineStr">
        <is>
          <t xml:space="preserve">VISIO </t>
        </is>
      </c>
      <c r="G10" t="inlineStr">
        <is>
          <t xml:space="preserve">CY PARIS UNIVERSITE </t>
        </is>
      </c>
      <c r="H10" t="inlineStr">
        <is>
          <t>Visio Contée "Contes des Amériques"</t>
        </is>
      </c>
      <c r="K10" t="inlineStr">
        <is>
          <t>Planifiée</t>
        </is>
      </c>
      <c r="N10">
        <f>(D10-C10)*24</f>
        <v/>
      </c>
      <c r="O10" t="inlineStr">
        <is>
          <t>Français</t>
        </is>
      </c>
    </row>
    <row r="11">
      <c r="A11" t="inlineStr">
        <is>
          <t>V0010</t>
        </is>
      </c>
      <c r="B11" s="28" t="n">
        <v>45965</v>
      </c>
      <c r="C11" s="30" t="n">
        <v>0.5416666666666666</v>
      </c>
      <c r="E11" t="n">
        <v>15</v>
      </c>
      <c r="G11" t="inlineStr">
        <is>
          <t>ECOLE ELEMENTAIRE DU P.</t>
        </is>
      </c>
      <c r="H11" t="inlineStr">
        <is>
          <t>G-VC "Mille et un Orients"</t>
        </is>
      </c>
      <c r="I11" t="inlineStr">
        <is>
          <t>Primaire/CE1</t>
        </is>
      </c>
      <c r="K11" t="inlineStr">
        <is>
          <t>Planifiée</t>
        </is>
      </c>
      <c r="N11">
        <f>(D11-C11)*24</f>
        <v/>
      </c>
      <c r="O11" t="inlineStr">
        <is>
          <t>Français</t>
        </is>
      </c>
    </row>
    <row r="12">
      <c r="A12" t="inlineStr">
        <is>
          <t>V0011</t>
        </is>
      </c>
      <c r="B12" s="28" t="n">
        <v>45965</v>
      </c>
      <c r="C12" s="30" t="n">
        <v>0.5972222222222222</v>
      </c>
      <c r="E12" t="n">
        <v>18</v>
      </c>
      <c r="G12" t="inlineStr">
        <is>
          <t>CONCORDIA SCHOOL PARIS</t>
        </is>
      </c>
      <c r="H12" t="inlineStr">
        <is>
          <t>G-VC "Océanie"</t>
        </is>
      </c>
      <c r="I12" t="inlineStr">
        <is>
          <t>Primaire/CP</t>
        </is>
      </c>
      <c r="K12" t="inlineStr">
        <is>
          <t>Planifiée</t>
        </is>
      </c>
      <c r="N12">
        <f>(D12-C12)*24</f>
        <v/>
      </c>
      <c r="O12" t="inlineStr">
        <is>
          <t>Français</t>
        </is>
      </c>
    </row>
    <row r="13">
      <c r="A13" t="inlineStr">
        <is>
          <t>V0012</t>
        </is>
      </c>
      <c r="B13" s="28" t="n">
        <v>45965</v>
      </c>
      <c r="C13" s="30" t="n">
        <v>0.6041666666666666</v>
      </c>
      <c r="E13" t="n">
        <v>15</v>
      </c>
      <c r="G13" t="inlineStr">
        <is>
          <t>CONCORDIA SCHOOL PARIS</t>
        </is>
      </c>
      <c r="H13" t="inlineStr">
        <is>
          <t>G-VC "Océanie"</t>
        </is>
      </c>
      <c r="I13" t="inlineStr">
        <is>
          <t>Primaire/CP</t>
        </is>
      </c>
      <c r="K13" t="inlineStr">
        <is>
          <t>Planifiée</t>
        </is>
      </c>
      <c r="N13">
        <f>(D13-C13)*24</f>
        <v/>
      </c>
      <c r="O13" t="inlineStr">
        <is>
          <t>Français</t>
        </is>
      </c>
    </row>
    <row r="14">
      <c r="A14" t="inlineStr">
        <is>
          <t>V0013</t>
        </is>
      </c>
      <c r="B14" s="28" t="n">
        <v>45966</v>
      </c>
      <c r="C14" s="30" t="n">
        <v>0.4166666666666667</v>
      </c>
      <c r="H14" t="inlineStr">
        <is>
          <t>ZOO</t>
        </is>
      </c>
      <c r="K14" t="inlineStr">
        <is>
          <t>Planifiée</t>
        </is>
      </c>
      <c r="N14">
        <f>(D14-C14)*24</f>
        <v/>
      </c>
      <c r="O14" t="inlineStr">
        <is>
          <t>Français</t>
        </is>
      </c>
    </row>
    <row r="15">
      <c r="A15" t="inlineStr">
        <is>
          <t>V0014</t>
        </is>
      </c>
      <c r="B15" s="28" t="n">
        <v>45966</v>
      </c>
      <c r="C15" s="30" t="n">
        <v>0.4375</v>
      </c>
      <c r="E15" t="n">
        <v>19</v>
      </c>
      <c r="G15" t="inlineStr">
        <is>
          <t>ESPACE SAAD ABSSI</t>
        </is>
      </c>
      <c r="H15" t="inlineStr">
        <is>
          <t>G-VC "Océanie"</t>
        </is>
      </c>
      <c r="J15" t="inlineStr">
        <is>
          <t xml:space="preserve">public famille partenariat </t>
        </is>
      </c>
      <c r="K15" t="inlineStr">
        <is>
          <t>Planifiée</t>
        </is>
      </c>
      <c r="N15">
        <f>(D15-C15)*24</f>
        <v/>
      </c>
      <c r="O15" t="inlineStr">
        <is>
          <t>Français</t>
        </is>
      </c>
    </row>
    <row r="16">
      <c r="A16" t="inlineStr">
        <is>
          <t>V0015</t>
        </is>
      </c>
      <c r="B16" s="28" t="n">
        <v>45966</v>
      </c>
      <c r="C16" s="30" t="n">
        <v>0.4444444444444444</v>
      </c>
      <c r="E16" t="n">
        <v>20</v>
      </c>
      <c r="G16" t="inlineStr">
        <is>
          <t>COLLEGE GEORGES</t>
        </is>
      </c>
      <c r="H16" t="inlineStr">
        <is>
          <t>G-VC "Femmes au coeur du monde"</t>
        </is>
      </c>
      <c r="I16" t="inlineStr">
        <is>
          <t>Collège/6ème</t>
        </is>
      </c>
      <c r="J16" t="inlineStr">
        <is>
          <t xml:space="preserve">  </t>
        </is>
      </c>
      <c r="K16" t="inlineStr">
        <is>
          <t>Planifiée</t>
        </is>
      </c>
      <c r="N16">
        <f>(D16-C16)*24</f>
        <v/>
      </c>
      <c r="O16" t="inlineStr">
        <is>
          <t>Français</t>
        </is>
      </c>
    </row>
    <row r="17">
      <c r="A17" t="inlineStr">
        <is>
          <t>V0016</t>
        </is>
      </c>
      <c r="B17" s="28" t="n">
        <v>45966</v>
      </c>
      <c r="C17" s="30" t="n">
        <v>0.4166666666666667</v>
      </c>
      <c r="E17" t="n">
        <v>12</v>
      </c>
      <c r="H17" t="inlineStr">
        <is>
          <t>Visite contée 0-3 ans "Ma petite visite contée, le voyage de petit ours"</t>
        </is>
      </c>
      <c r="K17" t="inlineStr">
        <is>
          <t>Planifiée</t>
        </is>
      </c>
      <c r="N17">
        <f>(D17-C17)*24</f>
        <v/>
      </c>
      <c r="O17" t="inlineStr">
        <is>
          <t>Français</t>
        </is>
      </c>
    </row>
    <row r="18">
      <c r="A18" t="inlineStr">
        <is>
          <t>V0017</t>
        </is>
      </c>
      <c r="B18" s="28" t="n">
        <v>45966</v>
      </c>
      <c r="C18" s="30" t="n">
        <v>0.6875</v>
      </c>
      <c r="E18" t="n">
        <v>19</v>
      </c>
      <c r="H18" t="inlineStr">
        <is>
          <t>Visite contée +6 ans "Afrique"</t>
        </is>
      </c>
      <c r="K18" t="inlineStr">
        <is>
          <t>Planifiée</t>
        </is>
      </c>
      <c r="N18">
        <f>(D18-C18)*24</f>
        <v/>
      </c>
      <c r="O18" t="inlineStr">
        <is>
          <t>Français</t>
        </is>
      </c>
    </row>
    <row r="19">
      <c r="A19" t="inlineStr">
        <is>
          <t>V0018</t>
        </is>
      </c>
      <c r="B19" s="28" t="n">
        <v>45967</v>
      </c>
      <c r="C19" s="30" t="n">
        <v>0.3541666666666667</v>
      </c>
      <c r="D19" s="30" t="n">
        <v>0.4166666666666667</v>
      </c>
      <c r="F19" t="inlineStr">
        <is>
          <t>HORS LES MURS</t>
        </is>
      </c>
      <c r="G19" t="inlineStr">
        <is>
          <t xml:space="preserve">Centre social </t>
        </is>
      </c>
      <c r="H19" t="inlineStr">
        <is>
          <t>Contes Amazônia</t>
        </is>
      </c>
      <c r="J19" t="inlineStr">
        <is>
          <t xml:space="preserve">
Responsable Local</t>
        </is>
      </c>
      <c r="K19" t="inlineStr">
        <is>
          <t>Planifiée</t>
        </is>
      </c>
      <c r="N19">
        <f>(D19-C19)*24</f>
        <v/>
      </c>
      <c r="O19" t="inlineStr">
        <is>
          <t>Français</t>
        </is>
      </c>
    </row>
    <row r="20">
      <c r="A20" t="inlineStr">
        <is>
          <t>V0019</t>
        </is>
      </c>
      <c r="B20" s="28" t="n">
        <v>45967</v>
      </c>
      <c r="C20" s="30" t="n">
        <v>0.6041666666666666</v>
      </c>
      <c r="D20" s="30" t="n">
        <v>0.7708333333333334</v>
      </c>
      <c r="F20" t="inlineStr">
        <is>
          <t>EVENEMENT BRANLY</t>
        </is>
      </c>
      <c r="G20" t="inlineStr">
        <is>
          <t>FOLIES</t>
        </is>
      </c>
      <c r="H20" t="inlineStr">
        <is>
          <t>G-VC "Afrique"</t>
        </is>
      </c>
      <c r="I20" t="inlineStr">
        <is>
          <t>Primaire/CE1</t>
        </is>
      </c>
      <c r="K20" t="inlineStr">
        <is>
          <t>Planifiée</t>
        </is>
      </c>
      <c r="N20">
        <f>(D20-C20)*24</f>
        <v/>
      </c>
      <c r="O20" t="inlineStr">
        <is>
          <t>Français</t>
        </is>
      </c>
    </row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Q2"/>
  <sheetViews>
    <sheetView tabSelected="1" workbookViewId="0">
      <selection activeCell="E11" sqref="E11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3" t="inlineStr">
        <is>
          <t>ID_Visite</t>
        </is>
      </c>
      <c r="B1" s="3" t="inlineStr">
        <is>
          <t>Date</t>
        </is>
      </c>
      <c r="C1" s="3" t="inlineStr">
        <is>
          <t>Heure</t>
        </is>
      </c>
      <c r="D1" s="3" t="inlineStr">
        <is>
          <t>Musée</t>
        </is>
      </c>
      <c r="E1" s="3" t="inlineStr">
        <is>
          <t>Type_Visite</t>
        </is>
      </c>
      <c r="F1" s="3" t="inlineStr">
        <is>
          <t>Durée</t>
        </is>
      </c>
      <c r="G1" s="3" t="inlineStr">
        <is>
          <t>Guide_Attribué</t>
        </is>
      </c>
      <c r="H1" s="33" t="inlineStr">
        <is>
          <t>Thème</t>
        </is>
      </c>
      <c r="I1" s="33" t="inlineStr">
        <is>
          <t>Niveau</t>
        </is>
      </c>
      <c r="J1" s="3" t="inlineStr">
        <is>
          <t>Guides_Disponibles</t>
        </is>
      </c>
      <c r="K1" s="3" t="inlineStr">
        <is>
          <t>Statut_Confirmation</t>
        </is>
      </c>
      <c r="L1" s="3" t="inlineStr">
        <is>
          <t>Historique</t>
        </is>
      </c>
      <c r="M1" s="11" t="inlineStr">
        <is>
          <t>Heure_Debut</t>
        </is>
      </c>
      <c r="N1" s="11" t="inlineStr">
        <is>
          <t>Heure_Fin</t>
        </is>
      </c>
      <c r="O1" s="11" t="inlineStr">
        <is>
          <t>Langue</t>
        </is>
      </c>
      <c r="P1" s="11" t="inlineStr">
        <is>
          <t>Nb_Personnes</t>
        </is>
      </c>
      <c r="Q1" s="11" t="inlineStr">
        <is>
          <t>Statut</t>
        </is>
      </c>
    </row>
    <row r="2">
      <c r="A2" t="inlineStr">
        <is>
          <t>V001</t>
        </is>
      </c>
      <c r="B2" s="21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J2" t="inlineStr">
        <is>
          <t>Evelyne MOSER</t>
        </is>
      </c>
      <c r="K2" t="inlineStr">
        <is>
          <t>En attente</t>
        </is>
      </c>
      <c r="M2" t="inlineStr">
        <is>
          <t>10:00</t>
        </is>
      </c>
      <c r="N2" t="inlineStr">
        <is>
          <t>12:00</t>
        </is>
      </c>
      <c r="O2" t="inlineStr">
        <is>
          <t>FR</t>
        </is>
      </c>
      <c r="P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4" t="inlineStr">
        <is>
          <t>Guide</t>
        </is>
      </c>
      <c r="B1" s="4" t="inlineStr">
        <is>
          <t>Nombre_Visites</t>
        </is>
      </c>
      <c r="C1" s="4" t="inlineStr">
        <is>
          <t>Total_Heures</t>
        </is>
      </c>
      <c r="D1" s="4" t="inlineStr">
        <is>
          <t>Montant_Salaire</t>
        </is>
      </c>
      <c r="E1" s="11" t="inlineStr">
        <is>
          <t>Prenom</t>
        </is>
      </c>
      <c r="F1" s="11" t="inlineStr">
        <is>
          <t>Nom</t>
        </is>
      </c>
      <c r="G1" s="11" t="inlineStr">
        <is>
          <t>Nb_Visites</t>
        </is>
      </c>
      <c r="H1" s="11" t="inlineStr">
        <is>
          <t>Nb_Heures</t>
        </is>
      </c>
      <c r="I1" s="11" t="inlineStr">
        <is>
          <t>Total_Brut</t>
        </is>
      </c>
      <c r="J1" s="11" t="inlineStr">
        <is>
          <t>Montant_Par_Cachet</t>
        </is>
      </c>
      <c r="K1" s="11" t="inlineStr">
        <is>
          <t>Nb_Cachets</t>
        </is>
      </c>
      <c r="L1" s="11" t="inlineStr">
        <is>
          <t>Total_Recalcule</t>
        </is>
      </c>
      <c r="M1" s="11" t="inlineStr">
        <is>
          <t>Mois</t>
        </is>
      </c>
      <c r="N1" s="22" t="inlineStr">
        <is>
          <t>Défraiements</t>
        </is>
      </c>
      <c r="O1" s="22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5" t="inlineStr">
        <is>
          <t>Guide</t>
        </is>
      </c>
      <c r="B1" s="5" t="inlineStr">
        <is>
          <t>Mois</t>
        </is>
      </c>
      <c r="C1" s="5" t="inlineStr">
        <is>
          <t>Dates_Visites</t>
        </is>
      </c>
      <c r="D1" s="5" t="inlineStr">
        <is>
          <t>Horaires</t>
        </is>
      </c>
      <c r="E1" s="5" t="inlineStr">
        <is>
          <t>Total_Heures</t>
        </is>
      </c>
      <c r="F1" s="5" t="inlineStr">
        <is>
          <t>Montant</t>
        </is>
      </c>
      <c r="G1" s="11" t="inlineStr">
        <is>
          <t>Prenom</t>
        </is>
      </c>
      <c r="H1" s="11" t="inlineStr">
        <is>
          <t>Nom</t>
        </is>
      </c>
      <c r="I1" s="11" t="inlineStr">
        <is>
          <t>Date_Generation</t>
        </is>
      </c>
      <c r="J1" s="11" t="inlineStr">
        <is>
          <t>Periode</t>
        </is>
      </c>
      <c r="K1" s="11" t="inlineStr">
        <is>
          <t>Type_Contrat</t>
        </is>
      </c>
      <c r="L1" s="11" t="inlineStr">
        <is>
          <t>Nb_Visites</t>
        </is>
      </c>
      <c r="M1" s="11" t="inlineStr">
        <is>
          <t>Nb_Cachets</t>
        </is>
      </c>
      <c r="N1" s="11" t="inlineStr">
        <is>
          <t>Montant_Cachet</t>
        </is>
      </c>
      <c r="O1" s="11" t="inlineStr">
        <is>
          <t>Total</t>
        </is>
      </c>
      <c r="P1" s="11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E24" sqref="E24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6" t="inlineStr">
        <is>
          <t>Paramètre</t>
        </is>
      </c>
      <c r="B1" s="6" t="inlineStr">
        <is>
          <t>Valeur</t>
        </is>
      </c>
      <c r="D1" s="11" t="inlineStr">
        <is>
          <t>Description</t>
        </is>
      </c>
    </row>
    <row r="2">
      <c r="A2" t="inlineStr">
        <is>
          <t>Email_Expediteur</t>
        </is>
      </c>
      <c r="B2" s="24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23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0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/>
  <cols>
    <col width="18" customWidth="1" style="52" min="1" max="1"/>
    <col width="15" customWidth="1" style="52" min="2" max="3"/>
    <col width="25" customWidth="1" style="52" min="4" max="4"/>
    <col width="10" customWidth="1" style="52" min="5" max="5"/>
  </cols>
  <sheetData>
    <row r="1" ht="18.75" customHeight="1" s="52">
      <c r="A1" s="31" t="inlineStr">
        <is>
          <t>ID_Specialisation</t>
        </is>
      </c>
      <c r="B1" s="32" t="inlineStr">
        <is>
          <t>Nom_Guide</t>
        </is>
      </c>
      <c r="C1" s="32" t="inlineStr">
        <is>
          <t>Email_Guide</t>
        </is>
      </c>
      <c r="D1" s="31" t="inlineStr">
        <is>
          <t>Type_Prestation</t>
        </is>
      </c>
      <c r="E1" s="31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3" t="inlineStr">
        <is>
          <t>GUIDE D'UTILISATION - CODE COULEUR PLANNING</t>
        </is>
      </c>
    </row>
    <row r="3">
      <c r="A3" s="8" t="n"/>
      <c r="B3" s="8" t="n"/>
      <c r="C3" s="8" t="n"/>
      <c r="D3" s="8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9" t="inlineStr">
        <is>
          <t>⚠️ IMPORTANT</t>
        </is>
      </c>
    </row>
    <row r="12">
      <c r="A12" s="54" t="inlineStr">
        <is>
          <t>Le code couleur est appliqué automatiquement lors de la génération du planning.</t>
        </is>
      </c>
    </row>
    <row r="13">
      <c r="A13" s="54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19" t="inlineStr">
        <is>
          <t>Prenom</t>
        </is>
      </c>
      <c r="B1" s="19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15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t="inlineStr">
        <is>
          <t>Date</t>
        </is>
      </c>
      <c r="B1" t="inlineStr">
        <is>
          <t>Heure</t>
        </is>
      </c>
      <c r="C1" t="inlineStr">
        <is>
          <t>Musee</t>
        </is>
      </c>
      <c r="D1" t="inlineStr">
        <is>
          <t>Type_Visite</t>
        </is>
      </c>
      <c r="E1" t="inlineStr">
        <is>
          <t>Langue</t>
        </is>
      </c>
      <c r="F1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2025-11-14T11:26:18Z</dcterms:modified>
  <cp:lastModifiedBy>Otmane Boulahia</cp:lastModifiedBy>
</cp:coreProperties>
</file>